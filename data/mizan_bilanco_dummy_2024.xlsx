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zan" sheetId="1" state="visible" r:id="rId3"/>
    <sheet name="Bilanço" sheetId="2" state="visible" r:id="rId4"/>
    <sheet name="Gelir Tablosu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<sst xmlns="http://schemas.openxmlformats.org/spreadsheetml/2006/main" count="145" uniqueCount="118">
  <si>
    <t xml:space="preserve">ÖRNEK ELEKTRİK DAĞITIM A.Ş. — DUMMY VERİ (Gerçek Değildir)</t>
  </si>
  <si>
    <t xml:space="preserve">Genel Geçici Mizan — Dönem: 01.01.2024 - 31.12.2024 (TRY)</t>
  </si>
  <si>
    <t xml:space="preserve">Not: Bu veriler staj/eğitim ve RAG uygulaması test amacıyla üretilmiş kurgusal (dummy) verilerdir, gerçek şirket verisi değildir.</t>
  </si>
  <si>
    <t xml:space="preserve">Hesap Kodu</t>
  </si>
  <si>
    <t xml:space="preserve">Hesap Adı</t>
  </si>
  <si>
    <t xml:space="preserve">Hesap Grubu</t>
  </si>
  <si>
    <t xml:space="preserve">Borç</t>
  </si>
  <si>
    <t xml:space="preserve">Alacak</t>
  </si>
  <si>
    <t xml:space="preserve">Borç Bakiye</t>
  </si>
  <si>
    <t xml:space="preserve">Alacak Bakiye</t>
  </si>
  <si>
    <t xml:space="preserve">100</t>
  </si>
  <si>
    <t xml:space="preserve">Kasa</t>
  </si>
  <si>
    <t xml:space="preserve">Dönen Varlık</t>
  </si>
  <si>
    <t xml:space="preserve">102</t>
  </si>
  <si>
    <t xml:space="preserve">Bankalar</t>
  </si>
  <si>
    <t xml:space="preserve">120</t>
  </si>
  <si>
    <t xml:space="preserve">Alıcılar (Ticari Alacaklar)</t>
  </si>
  <si>
    <t xml:space="preserve">128</t>
  </si>
  <si>
    <t xml:space="preserve">Şüpheli Ticari Alacaklar Karşılığı (-)</t>
  </si>
  <si>
    <t xml:space="preserve">150</t>
  </si>
  <si>
    <t xml:space="preserve">İlk Madde ve Malzeme (Şebeke Malzemesi)</t>
  </si>
  <si>
    <t xml:space="preserve">180</t>
  </si>
  <si>
    <t xml:space="preserve">Gelecek Aylara Ait Giderler</t>
  </si>
  <si>
    <t xml:space="preserve">191</t>
  </si>
  <si>
    <t xml:space="preserve">İndirilecek KDV</t>
  </si>
  <si>
    <t xml:space="preserve">253</t>
  </si>
  <si>
    <t xml:space="preserve">Tesis, Makine ve Cihazlar (Şebeke Yatırımları)</t>
  </si>
  <si>
    <t xml:space="preserve">Duran Varlık</t>
  </si>
  <si>
    <t xml:space="preserve">255</t>
  </si>
  <si>
    <t xml:space="preserve">Demirbaşlar</t>
  </si>
  <si>
    <t xml:space="preserve">257</t>
  </si>
  <si>
    <t xml:space="preserve">Birikmiş Amortismanlar (-)</t>
  </si>
  <si>
    <t xml:space="preserve">260</t>
  </si>
  <si>
    <t xml:space="preserve">Haklar (Lisans)</t>
  </si>
  <si>
    <t xml:space="preserve">300</t>
  </si>
  <si>
    <t xml:space="preserve">Banka Kredileri (Kısa Vadeli)</t>
  </si>
  <si>
    <t xml:space="preserve">KV Yükümlülük</t>
  </si>
  <si>
    <t xml:space="preserve">320</t>
  </si>
  <si>
    <t xml:space="preserve">Satıcılar (Ticari Borçlar)</t>
  </si>
  <si>
    <t xml:space="preserve">360</t>
  </si>
  <si>
    <t xml:space="preserve">Ödenecek Vergi ve Fonlar</t>
  </si>
  <si>
    <t xml:space="preserve">361</t>
  </si>
  <si>
    <t xml:space="preserve">Ödenecek Sosyal Güvenlik Kesintileri</t>
  </si>
  <si>
    <t xml:space="preserve">368</t>
  </si>
  <si>
    <t xml:space="preserve">Vadesi Geçmiş Ertelenmiş Vergi ve Diğer Yük.</t>
  </si>
  <si>
    <t xml:space="preserve">400</t>
  </si>
  <si>
    <t xml:space="preserve">Banka Kredileri (Uzun Vadeli)</t>
  </si>
  <si>
    <t xml:space="preserve">UV Yükümlülük</t>
  </si>
  <si>
    <t xml:space="preserve">472</t>
  </si>
  <si>
    <t xml:space="preserve">Kıdem Tazminatı Karşılığı</t>
  </si>
  <si>
    <t xml:space="preserve">500</t>
  </si>
  <si>
    <t xml:space="preserve">Sermaye</t>
  </si>
  <si>
    <t xml:space="preserve">Özkaynak</t>
  </si>
  <si>
    <t xml:space="preserve">570</t>
  </si>
  <si>
    <t xml:space="preserve">Geçmiş Yıllar Karları</t>
  </si>
  <si>
    <t xml:space="preserve">590</t>
  </si>
  <si>
    <t xml:space="preserve">Dönem Net Karı</t>
  </si>
  <si>
    <t xml:space="preserve">600</t>
  </si>
  <si>
    <t xml:space="preserve">Yurtiçi Satışlar (Dağıtım Bedeli Geliri)</t>
  </si>
  <si>
    <t xml:space="preserve">Gelir</t>
  </si>
  <si>
    <t xml:space="preserve">602</t>
  </si>
  <si>
    <t xml:space="preserve">Diğer Gelirler (Kayıp-Kaçak, Bağlantı Bedeli)</t>
  </si>
  <si>
    <t xml:space="preserve">620</t>
  </si>
  <si>
    <t xml:space="preserve">Satılan Hizmet Maliyeti</t>
  </si>
  <si>
    <t xml:space="preserve">Gider</t>
  </si>
  <si>
    <t xml:space="preserve">630</t>
  </si>
  <si>
    <t xml:space="preserve">Genel Yönetim Giderleri</t>
  </si>
  <si>
    <t xml:space="preserve">631</t>
  </si>
  <si>
    <t xml:space="preserve">Pazarlama Satış ve Dağıtım Giderleri</t>
  </si>
  <si>
    <t xml:space="preserve">660</t>
  </si>
  <si>
    <t xml:space="preserve">Kısa Vadeli Borçlanma Giderleri</t>
  </si>
  <si>
    <t xml:space="preserve">661</t>
  </si>
  <si>
    <t xml:space="preserve">Uzun Vadeli Borçlanma Giderleri</t>
  </si>
  <si>
    <t xml:space="preserve">679</t>
  </si>
  <si>
    <t xml:space="preserve">Diğer Olağandışı Gider ve Zararlar</t>
  </si>
  <si>
    <t xml:space="preserve">689</t>
  </si>
  <si>
    <t xml:space="preserve">Diğer Olağandışı Gelir ve Karlar</t>
  </si>
  <si>
    <t xml:space="preserve">691</t>
  </si>
  <si>
    <t xml:space="preserve">Dönem Karı Vergi ve Diğer Yasal Yük. Karşılığı</t>
  </si>
  <si>
    <t xml:space="preserve">TOPLAM</t>
  </si>
  <si>
    <t xml:space="preserve">Bilanço — 31.12.2024 (TRY) — Değerler 'Mizan' sayfasından SUMIFS ile hesaplanmıştır</t>
  </si>
  <si>
    <t xml:space="preserve">AKTİF (VARLIKLAR)</t>
  </si>
  <si>
    <t xml:space="preserve">Tutar</t>
  </si>
  <si>
    <t xml:space="preserve">PASİF (KAYNAKLAR)</t>
  </si>
  <si>
    <t xml:space="preserve">Dönen Varlıklar (Kasa+Banka+Alıcılar+Stok, net)</t>
  </si>
  <si>
    <t xml:space="preserve">Kısa Vadeli Yükümlülükler</t>
  </si>
  <si>
    <t xml:space="preserve">  Kasa</t>
  </si>
  <si>
    <t xml:space="preserve">  Banka Kredileri (KV)</t>
  </si>
  <si>
    <t xml:space="preserve">  Bankalar</t>
  </si>
  <si>
    <t xml:space="preserve">  Ticari Borçlar</t>
  </si>
  <si>
    <t xml:space="preserve">  Ticari Alacaklar (net)</t>
  </si>
  <si>
    <t xml:space="preserve">  Diğer KV Yükümlülükler</t>
  </si>
  <si>
    <t xml:space="preserve">  Stoklar</t>
  </si>
  <si>
    <t xml:space="preserve">Uzun Vadeli Yükümlülükler</t>
  </si>
  <si>
    <t xml:space="preserve">  Diğer Dönen Varlıklar</t>
  </si>
  <si>
    <t xml:space="preserve">  Banka Kredileri (UV)</t>
  </si>
  <si>
    <t xml:space="preserve">Duran Varlıklar (net)</t>
  </si>
  <si>
    <t xml:space="preserve">  Kıdem Tazminatı Karşılığı</t>
  </si>
  <si>
    <t xml:space="preserve">  Maddi Duran Varlıklar (net)</t>
  </si>
  <si>
    <t xml:space="preserve">Özkaynaklar</t>
  </si>
  <si>
    <t xml:space="preserve">  Maddi Olmayan Duran Varlıklar</t>
  </si>
  <si>
    <t xml:space="preserve">  Sermaye</t>
  </si>
  <si>
    <t xml:space="preserve">  Geçmiş Yıllar Karları</t>
  </si>
  <si>
    <t xml:space="preserve">  Dönem Net Karı (Gelir Tablosu'ndan)</t>
  </si>
  <si>
    <t xml:space="preserve">TOPLAM AKTİF</t>
  </si>
  <si>
    <t xml:space="preserve">TOPLAM PASİF</t>
  </si>
  <si>
    <t xml:space="preserve">Gelir Tablosu — 01.01.2024-31.12.2024 (TRY)</t>
  </si>
  <si>
    <t xml:space="preserve">Net Dağıtım Geliri (Satışlar)</t>
  </si>
  <si>
    <t xml:space="preserve">Satılan Hizmet Maliyeti (-)</t>
  </si>
  <si>
    <t xml:space="preserve">BRÜT KAR</t>
  </si>
  <si>
    <t xml:space="preserve">Genel Yönetim Giderleri (-)</t>
  </si>
  <si>
    <t xml:space="preserve">Pazarlama, Satış ve Dağıtım Giderleri (-)</t>
  </si>
  <si>
    <t xml:space="preserve">FAALİYET KARI</t>
  </si>
  <si>
    <t xml:space="preserve">Diğer Olağandışı Gelir/Gider (net)</t>
  </si>
  <si>
    <t xml:space="preserve">Finansman Giderleri (-)</t>
  </si>
  <si>
    <t xml:space="preserve">VERGİ ÖNCESİ KAR</t>
  </si>
  <si>
    <t xml:space="preserve">Vergi Karşılığı (-)</t>
  </si>
  <si>
    <t xml:space="preserve">DÖNEM NET KARI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</si>
</sst>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7" min="3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s">
        <v>11</v>
      </c>
      <c r="C6" s="5" t="s">
        <v>12</v>
      </c>
      <c r="D6" s="6" t="n">
        <v>1250000</v>
      </c>
      <c r="E6" s="6" t="n">
        <v>980000</v>
      </c>
      <c r="F6" s="6" t="n">
        <f aca="false">IF(D6&gt;=E6,D6-E6,0)</f>
        <v>270000</v>
      </c>
      <c r="G6" s="6" t="n">
        <f aca="false">IF(E6&gt;D6,E6-D6,0)</f>
        <v>0</v>
      </c>
    </row>
    <row r="7" customFormat="false" ht="15" hidden="false" customHeight="false" outlineLevel="0" collapsed="false">
      <c r="A7" s="5" t="s">
        <v>13</v>
      </c>
      <c r="B7" s="5" t="s">
        <v>14</v>
      </c>
      <c r="C7" s="5" t="s">
        <v>12</v>
      </c>
      <c r="D7" s="6" t="n">
        <v>55630000</v>
      </c>
      <c r="E7" s="6" t="n">
        <v>31200000</v>
      </c>
      <c r="F7" s="6" t="n">
        <f aca="false">IF(D7&gt;=E7,D7-E7,0)</f>
        <v>24430000</v>
      </c>
      <c r="G7" s="6" t="n">
        <f aca="false">IF(E7&gt;D7,E7-D7,0)</f>
        <v>0</v>
      </c>
    </row>
    <row r="8" customFormat="false" ht="15" hidden="false" customHeight="false" outlineLevel="0" collapsed="false">
      <c r="A8" s="5" t="s">
        <v>15</v>
      </c>
      <c r="B8" s="5" t="s">
        <v>16</v>
      </c>
      <c r="C8" s="5" t="s">
        <v>12</v>
      </c>
      <c r="D8" s="6" t="n">
        <v>62300000</v>
      </c>
      <c r="E8" s="6" t="n">
        <v>39800000</v>
      </c>
      <c r="F8" s="6" t="n">
        <f aca="false">IF(D8&gt;=E8,D8-E8,0)</f>
        <v>22500000</v>
      </c>
      <c r="G8" s="6" t="n">
        <f aca="false">IF(E8&gt;D8,E8-D8,0)</f>
        <v>0</v>
      </c>
    </row>
    <row r="9" customFormat="false" ht="15" hidden="false" customHeight="false" outlineLevel="0" collapsed="false">
      <c r="A9" s="5" t="s">
        <v>17</v>
      </c>
      <c r="B9" s="5" t="s">
        <v>18</v>
      </c>
      <c r="C9" s="5" t="s">
        <v>12</v>
      </c>
      <c r="D9" s="6" t="n">
        <v>0</v>
      </c>
      <c r="E9" s="6" t="n">
        <v>2100000</v>
      </c>
      <c r="F9" s="6" t="n">
        <f aca="false">IF(D9&gt;=E9,D9-E9,0)</f>
        <v>0</v>
      </c>
      <c r="G9" s="6" t="n">
        <f aca="false">IF(E9&gt;D9,E9-D9,0)</f>
        <v>2100000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5" t="s">
        <v>12</v>
      </c>
      <c r="D10" s="6" t="n">
        <v>15400000</v>
      </c>
      <c r="E10" s="6" t="n">
        <v>6200000</v>
      </c>
      <c r="F10" s="6" t="n">
        <f aca="false">IF(D10&gt;=E10,D10-E10,0)</f>
        <v>9200000</v>
      </c>
      <c r="G10" s="6" t="n">
        <f aca="false">IF(E10&gt;D10,E10-D10,0)</f>
        <v>0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12</v>
      </c>
      <c r="D11" s="6" t="n">
        <v>2300000</v>
      </c>
      <c r="E11" s="6" t="n">
        <v>900000</v>
      </c>
      <c r="F11" s="6" t="n">
        <f aca="false">IF(D11&gt;=E11,D11-E11,0)</f>
        <v>1400000</v>
      </c>
      <c r="G11" s="6" t="n">
        <f aca="false">IF(E11&gt;D11,E11-D11,0)</f>
        <v>0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5" t="s">
        <v>12</v>
      </c>
      <c r="D12" s="6" t="n">
        <v>9800000</v>
      </c>
      <c r="E12" s="6" t="n">
        <v>8700000</v>
      </c>
      <c r="F12" s="6" t="n">
        <f aca="false">IF(D12&gt;=E12,D12-E12,0)</f>
        <v>1100000</v>
      </c>
      <c r="G12" s="6" t="n">
        <f aca="false">IF(E12&gt;D12,E12-D12,0)</f>
        <v>0</v>
      </c>
    </row>
    <row r="13" customFormat="false" ht="15" hidden="false" customHeight="false" outlineLevel="0" collapsed="false">
      <c r="A13" s="5" t="s">
        <v>25</v>
      </c>
      <c r="B13" s="5" t="s">
        <v>26</v>
      </c>
      <c r="C13" s="5" t="s">
        <v>27</v>
      </c>
      <c r="D13" s="6" t="n">
        <v>210000000</v>
      </c>
      <c r="E13" s="6" t="n">
        <v>4500000</v>
      </c>
      <c r="F13" s="6" t="n">
        <f aca="false">IF(D13&gt;=E13,D13-E13,0)</f>
        <v>205500000</v>
      </c>
      <c r="G13" s="6" t="n">
        <f aca="false">IF(E13&gt;D13,E13-D13,0)</f>
        <v>0</v>
      </c>
    </row>
    <row r="14" customFormat="false" ht="15" hidden="false" customHeight="false" outlineLevel="0" collapsed="false">
      <c r="A14" s="5" t="s">
        <v>28</v>
      </c>
      <c r="B14" s="5" t="s">
        <v>29</v>
      </c>
      <c r="C14" s="5" t="s">
        <v>27</v>
      </c>
      <c r="D14" s="6" t="n">
        <v>8600000</v>
      </c>
      <c r="E14" s="6" t="n">
        <v>300000</v>
      </c>
      <c r="F14" s="6" t="n">
        <f aca="false">IF(D14&gt;=E14,D14-E14,0)</f>
        <v>8300000</v>
      </c>
      <c r="G14" s="6" t="n">
        <f aca="false">IF(E14&gt;D14,E14-D14,0)</f>
        <v>0</v>
      </c>
    </row>
    <row r="15" customFormat="false" ht="15" hidden="false" customHeight="false" outlineLevel="0" collapsed="false">
      <c r="A15" s="5" t="s">
        <v>30</v>
      </c>
      <c r="B15" s="5" t="s">
        <v>31</v>
      </c>
      <c r="C15" s="5" t="s">
        <v>27</v>
      </c>
      <c r="D15" s="6" t="n">
        <v>0</v>
      </c>
      <c r="E15" s="6" t="n">
        <v>62400000</v>
      </c>
      <c r="F15" s="6" t="n">
        <f aca="false">IF(D15&gt;=E15,D15-E15,0)</f>
        <v>0</v>
      </c>
      <c r="G15" s="6" t="n">
        <f aca="false">IF(E15&gt;D15,E15-D15,0)</f>
        <v>62400000</v>
      </c>
    </row>
    <row r="16" customFormat="false" ht="15" hidden="false" customHeight="false" outlineLevel="0" collapsed="false">
      <c r="A16" s="5" t="s">
        <v>32</v>
      </c>
      <c r="B16" s="5" t="s">
        <v>33</v>
      </c>
      <c r="C16" s="5" t="s">
        <v>27</v>
      </c>
      <c r="D16" s="6" t="n">
        <v>3200000</v>
      </c>
      <c r="E16" s="6" t="n">
        <v>0</v>
      </c>
      <c r="F16" s="6" t="n">
        <f aca="false">IF(D16&gt;=E16,D16-E16,0)</f>
        <v>3200000</v>
      </c>
      <c r="G16" s="6" t="n">
        <f aca="false">IF(E16&gt;D16,E16-D16,0)</f>
        <v>0</v>
      </c>
    </row>
    <row r="17" customFormat="false" ht="15" hidden="false" customHeight="false" outlineLevel="0" collapsed="false">
      <c r="A17" s="5" t="s">
        <v>34</v>
      </c>
      <c r="B17" s="5" t="s">
        <v>35</v>
      </c>
      <c r="C17" s="5" t="s">
        <v>36</v>
      </c>
      <c r="D17" s="6" t="n">
        <v>12000000</v>
      </c>
      <c r="E17" s="6" t="n">
        <v>28500000</v>
      </c>
      <c r="F17" s="6" t="n">
        <f aca="false">IF(D17&gt;=E17,D17-E17,0)</f>
        <v>0</v>
      </c>
      <c r="G17" s="6" t="n">
        <f aca="false">IF(E17&gt;D17,E17-D17,0)</f>
        <v>16500000</v>
      </c>
    </row>
    <row r="18" customFormat="false" ht="15" hidden="false" customHeight="false" outlineLevel="0" collapsed="false">
      <c r="A18" s="5" t="s">
        <v>37</v>
      </c>
      <c r="B18" s="5" t="s">
        <v>38</v>
      </c>
      <c r="C18" s="5" t="s">
        <v>36</v>
      </c>
      <c r="D18" s="6" t="n">
        <v>21400000</v>
      </c>
      <c r="E18" s="6" t="n">
        <v>34600000</v>
      </c>
      <c r="F18" s="6" t="n">
        <f aca="false">IF(D18&gt;=E18,D18-E18,0)</f>
        <v>0</v>
      </c>
      <c r="G18" s="6" t="n">
        <f aca="false">IF(E18&gt;D18,E18-D18,0)</f>
        <v>13200000</v>
      </c>
    </row>
    <row r="19" customFormat="false" ht="15" hidden="false" customHeight="false" outlineLevel="0" collapsed="false">
      <c r="A19" s="5" t="s">
        <v>39</v>
      </c>
      <c r="B19" s="5" t="s">
        <v>40</v>
      </c>
      <c r="C19" s="5" t="s">
        <v>36</v>
      </c>
      <c r="D19" s="6" t="n">
        <v>5100000</v>
      </c>
      <c r="E19" s="6" t="n">
        <v>7300000</v>
      </c>
      <c r="F19" s="6" t="n">
        <f aca="false">IF(D19&gt;=E19,D19-E19,0)</f>
        <v>0</v>
      </c>
      <c r="G19" s="6" t="n">
        <f aca="false">IF(E19&gt;D19,E19-D19,0)</f>
        <v>2200000</v>
      </c>
    </row>
    <row r="20" customFormat="false" ht="15" hidden="false" customHeight="false" outlineLevel="0" collapsed="false">
      <c r="A20" s="5" t="s">
        <v>41</v>
      </c>
      <c r="B20" s="5" t="s">
        <v>42</v>
      </c>
      <c r="C20" s="5" t="s">
        <v>36</v>
      </c>
      <c r="D20" s="6" t="n">
        <v>1800000</v>
      </c>
      <c r="E20" s="6" t="n">
        <v>2400000</v>
      </c>
      <c r="F20" s="6" t="n">
        <f aca="false">IF(D20&gt;=E20,D20-E20,0)</f>
        <v>0</v>
      </c>
      <c r="G20" s="6" t="n">
        <f aca="false">IF(E20&gt;D20,E20-D20,0)</f>
        <v>600000</v>
      </c>
    </row>
    <row r="21" customFormat="false" ht="15" hidden="false" customHeight="false" outlineLevel="0" collapsed="false">
      <c r="A21" s="5" t="s">
        <v>43</v>
      </c>
      <c r="B21" s="5" t="s">
        <v>44</v>
      </c>
      <c r="C21" s="5" t="s">
        <v>36</v>
      </c>
      <c r="D21" s="6" t="n">
        <v>400000</v>
      </c>
      <c r="E21" s="6" t="n">
        <v>900000</v>
      </c>
      <c r="F21" s="6" t="n">
        <f aca="false">IF(D21&gt;=E21,D21-E21,0)</f>
        <v>0</v>
      </c>
      <c r="G21" s="6" t="n">
        <f aca="false">IF(E21&gt;D21,E21-D21,0)</f>
        <v>500000</v>
      </c>
    </row>
    <row r="22" customFormat="false" ht="15" hidden="false" customHeight="false" outlineLevel="0" collapsed="false">
      <c r="A22" s="5" t="s">
        <v>45</v>
      </c>
      <c r="B22" s="5" t="s">
        <v>46</v>
      </c>
      <c r="C22" s="5" t="s">
        <v>47</v>
      </c>
      <c r="D22" s="6" t="n">
        <v>0</v>
      </c>
      <c r="E22" s="6" t="n">
        <v>65000000</v>
      </c>
      <c r="F22" s="6" t="n">
        <f aca="false">IF(D22&gt;=E22,D22-E22,0)</f>
        <v>0</v>
      </c>
      <c r="G22" s="6" t="n">
        <f aca="false">IF(E22&gt;D22,E22-D22,0)</f>
        <v>65000000</v>
      </c>
    </row>
    <row r="23" customFormat="false" ht="15" hidden="false" customHeight="false" outlineLevel="0" collapsed="false">
      <c r="A23" s="5" t="s">
        <v>48</v>
      </c>
      <c r="B23" s="5" t="s">
        <v>49</v>
      </c>
      <c r="C23" s="5" t="s">
        <v>47</v>
      </c>
      <c r="D23" s="6" t="n">
        <v>0</v>
      </c>
      <c r="E23" s="6" t="n">
        <v>9800000</v>
      </c>
      <c r="F23" s="6" t="n">
        <f aca="false">IF(D23&gt;=E23,D23-E23,0)</f>
        <v>0</v>
      </c>
      <c r="G23" s="6" t="n">
        <f aca="false">IF(E23&gt;D23,E23-D23,0)</f>
        <v>9800000</v>
      </c>
    </row>
    <row r="24" customFormat="false" ht="15" hidden="false" customHeight="false" outlineLevel="0" collapsed="false">
      <c r="A24" s="5" t="s">
        <v>50</v>
      </c>
      <c r="B24" s="5" t="s">
        <v>51</v>
      </c>
      <c r="C24" s="5" t="s">
        <v>52</v>
      </c>
      <c r="D24" s="6" t="n">
        <v>0</v>
      </c>
      <c r="E24" s="6" t="n">
        <v>50000000</v>
      </c>
      <c r="F24" s="6" t="n">
        <f aca="false">IF(D24&gt;=E24,D24-E24,0)</f>
        <v>0</v>
      </c>
      <c r="G24" s="6" t="n">
        <f aca="false">IF(E24&gt;D24,E24-D24,0)</f>
        <v>50000000</v>
      </c>
    </row>
    <row r="25" customFormat="false" ht="15" hidden="false" customHeight="false" outlineLevel="0" collapsed="false">
      <c r="A25" s="5" t="s">
        <v>53</v>
      </c>
      <c r="B25" s="5" t="s">
        <v>54</v>
      </c>
      <c r="C25" s="5" t="s">
        <v>52</v>
      </c>
      <c r="D25" s="6" t="n">
        <v>0</v>
      </c>
      <c r="E25" s="6" t="n">
        <v>18200000</v>
      </c>
      <c r="F25" s="6" t="n">
        <f aca="false">IF(D25&gt;=E25,D25-E25,0)</f>
        <v>0</v>
      </c>
      <c r="G25" s="6" t="n">
        <f aca="false">IF(E25&gt;D25,E25-D25,0)</f>
        <v>18200000</v>
      </c>
    </row>
    <row r="26" customFormat="false" ht="15" hidden="false" customHeight="false" outlineLevel="0" collapsed="false">
      <c r="A26" s="5" t="s">
        <v>55</v>
      </c>
      <c r="B26" s="5" t="s">
        <v>56</v>
      </c>
      <c r="C26" s="5" t="s">
        <v>52</v>
      </c>
      <c r="D26" s="6" t="n">
        <v>0</v>
      </c>
      <c r="E26" s="6" t="n">
        <v>0</v>
      </c>
      <c r="F26" s="6" t="n">
        <f aca="false">IF(D26&gt;=E26,D26-E26,0)</f>
        <v>0</v>
      </c>
      <c r="G26" s="6" t="n">
        <f aca="false">IF(E26&gt;D26,E26-D26,0)</f>
        <v>0</v>
      </c>
    </row>
    <row r="27" customFormat="false" ht="15" hidden="false" customHeight="false" outlineLevel="0" collapsed="false">
      <c r="A27" s="5" t="s">
        <v>57</v>
      </c>
      <c r="B27" s="5" t="s">
        <v>58</v>
      </c>
      <c r="C27" s="5" t="s">
        <v>59</v>
      </c>
      <c r="D27" s="6" t="n">
        <v>1200000</v>
      </c>
      <c r="E27" s="6" t="n">
        <v>186400000</v>
      </c>
      <c r="F27" s="6" t="n">
        <f aca="false">IF(D27&gt;=E27,D27-E27,0)</f>
        <v>0</v>
      </c>
      <c r="G27" s="6" t="n">
        <f aca="false">IF(E27&gt;D27,E27-D27,0)</f>
        <v>185200000</v>
      </c>
    </row>
    <row r="28" customFormat="false" ht="15" hidden="false" customHeight="false" outlineLevel="0" collapsed="false">
      <c r="A28" s="5" t="s">
        <v>60</v>
      </c>
      <c r="B28" s="5" t="s">
        <v>61</v>
      </c>
      <c r="C28" s="5" t="s">
        <v>59</v>
      </c>
      <c r="D28" s="6" t="n">
        <v>300000</v>
      </c>
      <c r="E28" s="6" t="n">
        <v>24600000</v>
      </c>
      <c r="F28" s="6" t="n">
        <f aca="false">IF(D28&gt;=E28,D28-E28,0)</f>
        <v>0</v>
      </c>
      <c r="G28" s="6" t="n">
        <f aca="false">IF(E28&gt;D28,E28-D28,0)</f>
        <v>24300000</v>
      </c>
    </row>
    <row r="29" customFormat="false" ht="15" hidden="false" customHeight="false" outlineLevel="0" collapsed="false">
      <c r="A29" s="5" t="s">
        <v>62</v>
      </c>
      <c r="B29" s="5" t="s">
        <v>63</v>
      </c>
      <c r="C29" s="5" t="s">
        <v>64</v>
      </c>
      <c r="D29" s="6" t="n">
        <v>132800000</v>
      </c>
      <c r="E29" s="6" t="n">
        <v>900000</v>
      </c>
      <c r="F29" s="6" t="n">
        <f aca="false">IF(D29&gt;=E29,D29-E29,0)</f>
        <v>131900000</v>
      </c>
      <c r="G29" s="6" t="n">
        <f aca="false">IF(E29&gt;D29,E29-D29,0)</f>
        <v>0</v>
      </c>
    </row>
    <row r="30" customFormat="false" ht="15" hidden="false" customHeight="false" outlineLevel="0" collapsed="false">
      <c r="A30" s="5" t="s">
        <v>65</v>
      </c>
      <c r="B30" s="5" t="s">
        <v>66</v>
      </c>
      <c r="C30" s="5" t="s">
        <v>64</v>
      </c>
      <c r="D30" s="6" t="n">
        <v>21400000</v>
      </c>
      <c r="E30" s="6" t="n">
        <v>200000</v>
      </c>
      <c r="F30" s="6" t="n">
        <f aca="false">IF(D30&gt;=E30,D30-E30,0)</f>
        <v>21200000</v>
      </c>
      <c r="G30" s="6" t="n">
        <f aca="false">IF(E30&gt;D30,E30-D30,0)</f>
        <v>0</v>
      </c>
    </row>
    <row r="31" customFormat="false" ht="15" hidden="false" customHeight="false" outlineLevel="0" collapsed="false">
      <c r="A31" s="5" t="s">
        <v>67</v>
      </c>
      <c r="B31" s="5" t="s">
        <v>68</v>
      </c>
      <c r="C31" s="5" t="s">
        <v>64</v>
      </c>
      <c r="D31" s="6" t="n">
        <v>8600000</v>
      </c>
      <c r="E31" s="6" t="n">
        <v>100000</v>
      </c>
      <c r="F31" s="6" t="n">
        <f aca="false">IF(D31&gt;=E31,D31-E31,0)</f>
        <v>8500000</v>
      </c>
      <c r="G31" s="6" t="n">
        <f aca="false">IF(E31&gt;D31,E31-D31,0)</f>
        <v>0</v>
      </c>
    </row>
    <row r="32" customFormat="false" ht="15" hidden="false" customHeight="false" outlineLevel="0" collapsed="false">
      <c r="A32" s="5" t="s">
        <v>69</v>
      </c>
      <c r="B32" s="5" t="s">
        <v>70</v>
      </c>
      <c r="C32" s="5" t="s">
        <v>64</v>
      </c>
      <c r="D32" s="6" t="n">
        <v>4200000</v>
      </c>
      <c r="E32" s="6" t="n">
        <v>0</v>
      </c>
      <c r="F32" s="6" t="n">
        <f aca="false">IF(D32&gt;=E32,D32-E32,0)</f>
        <v>4200000</v>
      </c>
      <c r="G32" s="6" t="n">
        <f aca="false">IF(E32&gt;D32,E32-D32,0)</f>
        <v>0</v>
      </c>
    </row>
    <row r="33" customFormat="false" ht="15" hidden="false" customHeight="false" outlineLevel="0" collapsed="false">
      <c r="A33" s="5" t="s">
        <v>71</v>
      </c>
      <c r="B33" s="5" t="s">
        <v>72</v>
      </c>
      <c r="C33" s="5" t="s">
        <v>64</v>
      </c>
      <c r="D33" s="6" t="n">
        <v>6100000</v>
      </c>
      <c r="E33" s="6" t="n">
        <v>0</v>
      </c>
      <c r="F33" s="6" t="n">
        <f aca="false">IF(D33&gt;=E33,D33-E33,0)</f>
        <v>6100000</v>
      </c>
      <c r="G33" s="6" t="n">
        <f aca="false">IF(E33&gt;D33,E33-D33,0)</f>
        <v>0</v>
      </c>
    </row>
    <row r="34" customFormat="false" ht="15" hidden="false" customHeight="false" outlineLevel="0" collapsed="false">
      <c r="A34" s="5" t="s">
        <v>73</v>
      </c>
      <c r="B34" s="5" t="s">
        <v>74</v>
      </c>
      <c r="C34" s="5" t="s">
        <v>64</v>
      </c>
      <c r="D34" s="6" t="n">
        <v>950000</v>
      </c>
      <c r="E34" s="6" t="n">
        <v>0</v>
      </c>
      <c r="F34" s="6" t="n">
        <f aca="false">IF(D34&gt;=E34,D34-E34,0)</f>
        <v>950000</v>
      </c>
      <c r="G34" s="6" t="n">
        <f aca="false">IF(E34&gt;D34,E34-D34,0)</f>
        <v>0</v>
      </c>
    </row>
    <row r="35" customFormat="false" ht="15" hidden="false" customHeight="false" outlineLevel="0" collapsed="false">
      <c r="A35" s="5" t="s">
        <v>75</v>
      </c>
      <c r="B35" s="5" t="s">
        <v>76</v>
      </c>
      <c r="C35" s="5" t="s">
        <v>59</v>
      </c>
      <c r="D35" s="6" t="n">
        <v>0</v>
      </c>
      <c r="E35" s="6" t="n">
        <v>1200000</v>
      </c>
      <c r="F35" s="6" t="n">
        <f aca="false">IF(D35&gt;=E35,D35-E35,0)</f>
        <v>0</v>
      </c>
      <c r="G35" s="6" t="n">
        <f aca="false">IF(E35&gt;D35,E35-D35,0)</f>
        <v>1200000</v>
      </c>
    </row>
    <row r="36" customFormat="false" ht="15" hidden="false" customHeight="false" outlineLevel="0" collapsed="false">
      <c r="A36" s="5" t="s">
        <v>77</v>
      </c>
      <c r="B36" s="5" t="s">
        <v>78</v>
      </c>
      <c r="C36" s="5" t="s">
        <v>64</v>
      </c>
      <c r="D36" s="6" t="n">
        <v>2450000</v>
      </c>
      <c r="E36" s="6" t="n">
        <v>0</v>
      </c>
      <c r="F36" s="6" t="n">
        <f aca="false">IF(D36&gt;=E36,D36-E36,0)</f>
        <v>2450000</v>
      </c>
      <c r="G36" s="6" t="n">
        <f aca="false">IF(E36&gt;D36,E36-D36,0)</f>
        <v>0</v>
      </c>
    </row>
    <row r="37" customFormat="false" ht="15" hidden="false" customHeight="false" outlineLevel="0" collapsed="false">
      <c r="A37" s="7"/>
      <c r="B37" s="7" t="s">
        <v>79</v>
      </c>
      <c r="C37" s="7"/>
      <c r="D37" s="8" t="n">
        <f aca="false">SUM(D6:D36)</f>
        <v>587180000</v>
      </c>
      <c r="E37" s="8" t="n">
        <f aca="false">SUM(E6:E36)</f>
        <v>587180000</v>
      </c>
      <c r="F37" s="8" t="n">
        <f aca="false">SUM(F6:F36)</f>
        <v>451200000</v>
      </c>
      <c r="G37" s="8" t="n">
        <f aca="false">SUM(G6:G36)</f>
        <v>451200000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4" t="s">
        <v>81</v>
      </c>
      <c r="B4" s="4" t="s">
        <v>82</v>
      </c>
      <c r="C4" s="4" t="s">
        <v>83</v>
      </c>
      <c r="D4" s="4" t="s">
        <v>82</v>
      </c>
    </row>
    <row r="5" customFormat="false" ht="15" hidden="false" customHeight="false" outlineLevel="0" collapsed="false">
      <c r="A5" s="9" t="s">
        <v>84</v>
      </c>
      <c r="C5" s="9" t="s">
        <v>85</v>
      </c>
    </row>
    <row r="6" customFormat="false" ht="15" hidden="false" customHeight="false" outlineLevel="0" collapsed="false">
      <c r="A6" s="5" t="s">
        <v>86</v>
      </c>
      <c r="B6" s="6" t="n">
        <f aca="false">(SUMIFS(Mizan!$F$6:$F$36,Mizan!$A$6:$A$36,"100*")-SUMIFS(Mizan!$G$6:$G$36,Mizan!$A$6:$A$36,"100*"))</f>
        <v>270000</v>
      </c>
      <c r="C6" s="5" t="s">
        <v>87</v>
      </c>
      <c r="D6" s="6" t="n">
        <f aca="false">(SUMIFS(Mizan!$G$6:$G$36,Mizan!$A$6:$A$36,"300*")-SUMIFS(Mizan!$F$6:$F$36,Mizan!$A$6:$A$36,"300*"))</f>
        <v>16500000</v>
      </c>
    </row>
    <row r="7" customFormat="false" ht="15" hidden="false" customHeight="false" outlineLevel="0" collapsed="false">
      <c r="A7" s="5" t="s">
        <v>88</v>
      </c>
      <c r="B7" s="6" t="n">
        <f aca="false">(SUMIFS(Mizan!$F$6:$F$36,Mizan!$A$6:$A$36,"102*")-SUMIFS(Mizan!$G$6:$G$36,Mizan!$A$6:$A$36,"102*"))</f>
        <v>24430000</v>
      </c>
      <c r="C7" s="5" t="s">
        <v>89</v>
      </c>
      <c r="D7" s="6" t="n">
        <f aca="false">(SUMIFS(Mizan!$G$6:$G$36,Mizan!$A$6:$A$36,"320*")-SUMIFS(Mizan!$F$6:$F$36,Mizan!$A$6:$A$36,"320*"))</f>
        <v>13200000</v>
      </c>
    </row>
    <row r="8" customFormat="false" ht="15" hidden="false" customHeight="false" outlineLevel="0" collapsed="false">
      <c r="A8" s="5" t="s">
        <v>90</v>
      </c>
      <c r="B8" s="6" t="n">
        <f aca="false">(SUMIFS(Mizan!$F$6:$F$36,Mizan!$A$6:$A$36,"12*")-SUMIFS(Mizan!$G$6:$G$36,Mizan!$A$6:$A$36,"12*"))</f>
        <v>20400000</v>
      </c>
      <c r="C8" s="5" t="s">
        <v>91</v>
      </c>
      <c r="D8" s="6" t="n">
        <f aca="false">(SUMIFS(Mizan!$G$6:$G$36,Mizan!$A$6:$A$36,"36*")-SUMIFS(Mizan!$F$6:$F$36,Mizan!$A$6:$A$36,"36*"))</f>
        <v>3300000</v>
      </c>
    </row>
    <row r="9" customFormat="false" ht="15" hidden="false" customHeight="false" outlineLevel="0" collapsed="false">
      <c r="A9" s="5" t="s">
        <v>92</v>
      </c>
      <c r="B9" s="6" t="n">
        <f aca="false">(SUMIFS(Mizan!$F$6:$F$36,Mizan!$A$6:$A$36,"150*")-SUMIFS(Mizan!$G$6:$G$36,Mizan!$A$6:$A$36,"150*"))</f>
        <v>9200000</v>
      </c>
      <c r="C9" s="9" t="s">
        <v>93</v>
      </c>
    </row>
    <row r="10" customFormat="false" ht="15" hidden="false" customHeight="false" outlineLevel="0" collapsed="false">
      <c r="A10" s="5" t="s">
        <v>94</v>
      </c>
      <c r="B10" s="6" t="n">
        <f aca="false">(SUMIFS(Mizan!$F$6:$F$36,Mizan!$A$6:$A$36,"18*")-SUMIFS(Mizan!$G$6:$G$36,Mizan!$A$6:$A$36,"18*"))+(SUMIFS(Mizan!$F$6:$F$36,Mizan!$A$6:$A$36,"19*")-SUMIFS(Mizan!$G$6:$G$36,Mizan!$A$6:$A$36,"19*"))</f>
        <v>2500000</v>
      </c>
      <c r="C10" s="5" t="s">
        <v>95</v>
      </c>
      <c r="D10" s="6" t="n">
        <f aca="false">(SUMIFS(Mizan!$G$6:$G$36,Mizan!$A$6:$A$36,"400*")-SUMIFS(Mizan!$F$6:$F$36,Mizan!$A$6:$A$36,"400*"))</f>
        <v>65000000</v>
      </c>
    </row>
    <row r="11" customFormat="false" ht="15" hidden="false" customHeight="false" outlineLevel="0" collapsed="false">
      <c r="A11" s="9" t="s">
        <v>96</v>
      </c>
      <c r="C11" s="5" t="s">
        <v>97</v>
      </c>
      <c r="D11" s="6" t="n">
        <f aca="false">(SUMIFS(Mizan!$G$6:$G$36,Mizan!$A$6:$A$36,"472*")-SUMIFS(Mizan!$F$6:$F$36,Mizan!$A$6:$A$36,"472*"))</f>
        <v>9800000</v>
      </c>
    </row>
    <row r="12" customFormat="false" ht="15" hidden="false" customHeight="false" outlineLevel="0" collapsed="false">
      <c r="A12" s="5" t="s">
        <v>98</v>
      </c>
      <c r="B12" s="6" t="n">
        <f aca="false">(SUMIFS(Mizan!$F$6:$F$36,Mizan!$A$6:$A$36,"25*")-SUMIFS(Mizan!$G$6:$G$36,Mizan!$A$6:$A$36,"25*"))</f>
        <v>151400000</v>
      </c>
      <c r="C12" s="9" t="s">
        <v>99</v>
      </c>
    </row>
    <row r="13" customFormat="false" ht="15" hidden="false" customHeight="false" outlineLevel="0" collapsed="false">
      <c r="A13" s="5" t="s">
        <v>100</v>
      </c>
      <c r="B13" s="6" t="n">
        <f aca="false">(SUMIFS(Mizan!$F$6:$F$36,Mizan!$A$6:$A$36,"26*")-SUMIFS(Mizan!$G$6:$G$36,Mizan!$A$6:$A$36,"26*"))</f>
        <v>3200000</v>
      </c>
      <c r="C13" s="5" t="s">
        <v>101</v>
      </c>
      <c r="D13" s="6" t="n">
        <f aca="false">(SUMIFS(Mizan!$G$6:$G$36,Mizan!$A$6:$A$36,"500*")-SUMIFS(Mizan!$F$6:$F$36,Mizan!$A$6:$A$36,"500*"))</f>
        <v>50000000</v>
      </c>
    </row>
    <row r="14" customFormat="false" ht="15" hidden="false" customHeight="false" outlineLevel="0" collapsed="false">
      <c r="C14" s="5" t="s">
        <v>102</v>
      </c>
      <c r="D14" s="6" t="n">
        <f aca="false">(SUMIFS(Mizan!$G$6:$G$36,Mizan!$A$6:$A$36,"570*")-SUMIFS(Mizan!$F$6:$F$36,Mizan!$A$6:$A$36,"570*"))</f>
        <v>18200000</v>
      </c>
    </row>
    <row r="15" customFormat="false" ht="15" hidden="false" customHeight="false" outlineLevel="0" collapsed="false">
      <c r="C15" s="5" t="s">
        <v>103</v>
      </c>
      <c r="D15" s="6" t="n">
        <f aca="false">'Gelir Tablosu'!B14</f>
        <v>35400000</v>
      </c>
    </row>
    <row r="17" customFormat="false" ht="15" hidden="false" customHeight="false" outlineLevel="0" collapsed="false">
      <c r="A17" s="7" t="s">
        <v>104</v>
      </c>
      <c r="B17" s="8" t="n">
        <f aca="false">B6+B7+B8+B9+B10+B12+B13</f>
        <v>211400000</v>
      </c>
      <c r="C17" s="7" t="s">
        <v>105</v>
      </c>
      <c r="D17" s="8" t="n">
        <f aca="false">D6+D7+D8+D10+D11+D13+D14+D15</f>
        <v>211400000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5" t="s">
        <v>107</v>
      </c>
      <c r="B4" s="6" t="n">
        <f aca="false">SUMIFS(Mizan!$G$6:$G$36,Mizan!$A$6:$A$36,"60*")-SUMIFS(Mizan!$F$6:$F$36,Mizan!$A$6:$A$36,"60*")</f>
        <v>209500000</v>
      </c>
    </row>
    <row r="5" customFormat="false" ht="15" hidden="false" customHeight="false" outlineLevel="0" collapsed="false">
      <c r="A5" s="5" t="s">
        <v>108</v>
      </c>
      <c r="B5" s="6" t="n">
        <f aca="false">SUMIFS(Mizan!$G$6:$G$36,Mizan!$A$6:$A$36,"620*")-SUMIFS(Mizan!$F$6:$F$36,Mizan!$A$6:$A$36,"620*")</f>
        <v>-131900000</v>
      </c>
    </row>
    <row r="6" customFormat="false" ht="15" hidden="false" customHeight="false" outlineLevel="0" collapsed="false">
      <c r="A6" s="10" t="s">
        <v>109</v>
      </c>
      <c r="B6" s="11" t="n">
        <f aca="false">B4+B5</f>
        <v>77600000</v>
      </c>
    </row>
    <row r="7" customFormat="false" ht="15" hidden="false" customHeight="false" outlineLevel="0" collapsed="false">
      <c r="A7" s="5" t="s">
        <v>110</v>
      </c>
      <c r="B7" s="6" t="n">
        <f aca="false">SUMIFS(Mizan!$G$6:$G$36,Mizan!$A$6:$A$36,"630*")-SUMIFS(Mizan!$F$6:$F$36,Mizan!$A$6:$A$36,"630*")</f>
        <v>-21200000</v>
      </c>
    </row>
    <row r="8" customFormat="false" ht="15" hidden="false" customHeight="false" outlineLevel="0" collapsed="false">
      <c r="A8" s="5" t="s">
        <v>111</v>
      </c>
      <c r="B8" s="6" t="n">
        <f aca="false">SUMIFS(Mizan!$G$6:$G$36,Mizan!$A$6:$A$36,"631*")-SUMIFS(Mizan!$F$6:$F$36,Mizan!$A$6:$A$36,"631*")</f>
        <v>-8500000</v>
      </c>
    </row>
    <row r="9" customFormat="false" ht="15" hidden="false" customHeight="false" outlineLevel="0" collapsed="false">
      <c r="A9" s="10" t="s">
        <v>112</v>
      </c>
      <c r="B9" s="11" t="n">
        <f aca="false">B6+B7+B8</f>
        <v>47900000</v>
      </c>
    </row>
    <row r="10" customFormat="false" ht="15" hidden="false" customHeight="false" outlineLevel="0" collapsed="false">
      <c r="A10" s="5" t="s">
        <v>113</v>
      </c>
      <c r="B10" s="6" t="n">
        <f aca="false">SUMIFS(Mizan!$G$6:$G$36,Mizan!$A$6:$A$36,"679*")-SUMIFS(Mizan!$F$6:$F$36,Mizan!$A$6:$A$36,"679*")+SUMIFS(Mizan!$G$6:$G$36,Mizan!$A$6:$A$36,"689*")-SUMIFS(Mizan!$F$6:$F$36,Mizan!$A$6:$A$36,"689*")</f>
        <v>250000</v>
      </c>
    </row>
    <row r="11" customFormat="false" ht="15" hidden="false" customHeight="false" outlineLevel="0" collapsed="false">
      <c r="A11" s="5" t="s">
        <v>114</v>
      </c>
      <c r="B11" s="6" t="n">
        <f aca="false">SUMIFS(Mizan!$G$6:$G$36,Mizan!$A$6:$A$36,"660*")-SUMIFS(Mizan!$F$6:$F$36,Mizan!$A$6:$A$36,"660*")+SUMIFS(Mizan!$G$6:$G$36,Mizan!$A$6:$A$36,"661*")-SUMIFS(Mizan!$F$6:$F$36,Mizan!$A$6:$A$36,"661*")</f>
        <v>-10300000</v>
      </c>
    </row>
    <row r="12" customFormat="false" ht="15" hidden="false" customHeight="false" outlineLevel="0" collapsed="false">
      <c r="A12" s="10" t="s">
        <v>115</v>
      </c>
      <c r="B12" s="11" t="n">
        <f aca="false">B9+B10+B11</f>
        <v>37850000</v>
      </c>
    </row>
    <row r="13" customFormat="false" ht="15" hidden="false" customHeight="false" outlineLevel="0" collapsed="false">
      <c r="A13" s="5" t="s">
        <v>116</v>
      </c>
      <c r="B13" s="6" t="n">
        <f aca="false">SUMIFS(Mizan!$G$6:$G$36,Mizan!$A$6:$A$36,"691*")-SUMIFS(Mizan!$F$6:$F$36,Mizan!$A$6:$A$36,"691*")</f>
        <v>-2450000</v>
      </c>
    </row>
    <row r="14" customFormat="false" ht="15" hidden="false" customHeight="false" outlineLevel="0" collapsed="false">
      <c r="A14" s="10" t="s">
        <v>117</v>
      </c>
      <c r="B14" s="11" t="n">
        <f aca="false">B12+B13</f>
        <v>35400000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2026-08-25T11:43:47Z</dcterms:created>
  <dc:creator>openpyxl</dc:creator>
  <dc:description/>
  <dc:language>en-US</dc:language>
  <cp:lastModifiedBy/>
  <dcterms:modified xsi:type="dcterms:W3CDTF">2026-08-25T11:43:47Z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